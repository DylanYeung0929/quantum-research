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<sst xmlns="http://schemas.openxmlformats.org/spreadsheetml/2006/main" count="24" uniqueCount="21">
  <si>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神经元数量</t>
  </si>
  <si>
    <t>学习率</t>
  </si>
  <si>
    <t>样本数</t>
  </si>
  <si>
    <t>训练次数</t>
  </si>
  <si>
    <t>量子层深度</t>
  </si>
  <si>
    <t>量子比特数</t>
  </si>
  <si>
    <t>F1分数1</t>
  </si>
  <si>
    <t>F1分数2</t>
  </si>
  <si>
    <t>F1分数3</t>
  </si>
  <si>
    <t>准确率1</t>
  </si>
  <si>
    <t>准确率2</t>
  </si>
  <si>
    <t>准确率3</t>
  </si>
  <si>
    <t>耗时1</t>
  </si>
  <si>
    <t>耗时2</t>
  </si>
  <si>
    <t>耗时3</t>
  </si>
  <si>
    <t>F1分数</t>
  </si>
  <si>
    <t>准确率</t>
  </si>
  <si>
    <t>总参数</t>
  </si>
  <si>
    <t>深度1    量子比特</t>
  </si>
  <si>
    <t>深度2    量子比特</t>
  </si>
  <si>
    <t>F1分数随经典神经网络隐藏层神经元数量变化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</si>
</sst>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13" applyNumberFormat="0" applyAlignment="0" applyProtection="0">
      <alignment vertical="center"/>
    </xf>
    <xf numFmtId="0" fontId="11" fillId="16" borderId="14" applyNumberFormat="0" applyAlignment="0" applyProtection="0">
      <alignment vertical="center"/>
    </xf>
    <xf numFmtId="0" fontId="12" fillId="16" borderId="13" applyNumberFormat="0" applyAlignment="0" applyProtection="0">
      <alignment vertical="center"/>
    </xf>
    <xf numFmtId="0" fontId="13" fillId="1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lang="en-US" altLang="zh-CN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F1</a:t>
            </a:r>
            <a:r>
              <a:rPr altLang="en-US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分数随经典神经网络学习率变化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>
        <c:manualLayout>
          <c:xMode val="edge"/>
          <c:yMode val="edge"/>
          <c:x val="0.326990476250368"/>
          <c:y val="0.03795110593713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684496504423"/>
          <c:y val="0.148076385116665"/>
          <c:w val="0.872656349916869"/>
          <c:h val="0.713234926194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Sheet1!$C$8:$C$12</c:f>
              <c:numCache>
                <c:formatCode>General</c:formatCode>
                <c:ptCount val="5"/>
                <c:pt idx="0">
                  <c:v>0.005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0.08</c:v>
                </c:pt>
              </c:numCache>
            </c:numRef>
          </c:xVal>
          <c:yVal>
            <c:numRef>
              <c:f>Sheet1!$Q$8:$Q$12</c:f>
              <c:numCache>
                <c:formatCode>General</c:formatCode>
                <c:ptCount val="5"/>
                <c:pt idx="0">
                  <c:v>0.9172</c:v>
                </c:pt>
                <c:pt idx="1">
                  <c:v>0.9206</c:v>
                </c:pt>
                <c:pt idx="2">
                  <c:v>0.9084</c:v>
                </c:pt>
                <c:pt idx="3">
                  <c:v>0.904</c:v>
                </c:pt>
                <c:pt idx="4">
                  <c:v>0.8938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96904879"/>
        <c:axId val="161062047"/>
      </c:scatterChart>
      <c:valAx>
        <c:axId val="39690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经典神经网络学习率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61062047"/>
        <c:crosses val="autoZero"/>
        <c:crossBetween val="midCat"/>
      </c:valAx>
      <c:valAx>
        <c:axId val="16106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lang="en-US" altLang="zh-CN"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F1</a:t>
                </a:r>
                <a:r>
                  <a:rPr altLang="en-US"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分数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969048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准确率随经典神经网络学习率变化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21670402265"/>
          <c:y val="0.155047074246216"/>
          <c:w val="0.853061224489796"/>
          <c:h val="0.7023954236682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Sheet1!$C$8:$C$12</c:f>
              <c:numCache>
                <c:formatCode>General</c:formatCode>
                <c:ptCount val="5"/>
                <c:pt idx="0">
                  <c:v>0.005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0.08</c:v>
                </c:pt>
              </c:numCache>
            </c:numRef>
          </c:xVal>
          <c:yVal>
            <c:numRef>
              <c:f>Sheet1!$R$8:$R$12</c:f>
              <c:numCache>
                <c:formatCode>0.00%</c:formatCode>
                <c:ptCount val="5"/>
                <c:pt idx="0">
                  <c:v>0.94</c:v>
                </c:pt>
                <c:pt idx="1">
                  <c:v>0.9439</c:v>
                </c:pt>
                <c:pt idx="2">
                  <c:v>0.934476</c:v>
                </c:pt>
                <c:pt idx="3">
                  <c:v>0.930108</c:v>
                </c:pt>
                <c:pt idx="4">
                  <c:v>0.922715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14396152"/>
        <c:axId val="293657342"/>
      </c:scatterChart>
      <c:valAx>
        <c:axId val="41439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t>经典神经网络学习率</a:t>
                </a:r>
              </a:p>
            </c:rich>
          </c:tx>
          <c:layout>
            <c:manualLayout>
              <c:xMode val="edge"/>
              <c:yMode val="edge"/>
              <c:x val="0.448504340573833"/>
              <c:y val="0.9350076966626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93657342"/>
        <c:crosses val="autoZero"/>
        <c:crossBetween val="midCat"/>
      </c:valAx>
      <c:valAx>
        <c:axId val="2936573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t>准确率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4143961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F1分数随经典神经网络隐藏层神经元数量变化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Sheet1!$B$4:$B$7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</c:numCache>
            </c:numRef>
          </c:xVal>
          <c:yVal>
            <c:numRef>
              <c:f>Sheet1!$Q$4:$Q$7</c:f>
              <c:numCache>
                <c:formatCode>General</c:formatCode>
                <c:ptCount val="4"/>
                <c:pt idx="0">
                  <c:v>0.9144</c:v>
                </c:pt>
                <c:pt idx="1">
                  <c:v>0.9206</c:v>
                </c:pt>
                <c:pt idx="2">
                  <c:v>0.9205</c:v>
                </c:pt>
                <c:pt idx="3">
                  <c:v>0.9202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39788048"/>
        <c:axId val="755474889"/>
      </c:scatterChart>
      <c:valAx>
        <c:axId val="939788048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隐藏层神经元数量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55474889"/>
        <c:crosses val="autoZero"/>
        <c:crossBetween val="midCat"/>
      </c:valAx>
      <c:valAx>
        <c:axId val="7554748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F1分数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3978804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准确率随经典神经网络隐藏层神经元数量变化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Sheet1!$B$4:$B$7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</c:numCache>
            </c:numRef>
          </c:xVal>
          <c:yVal>
            <c:numRef>
              <c:f>Sheet1!$R$4:$R$7</c:f>
              <c:numCache>
                <c:formatCode>0.00%</c:formatCode>
                <c:ptCount val="4"/>
                <c:pt idx="0">
                  <c:v>0.9384</c:v>
                </c:pt>
                <c:pt idx="1">
                  <c:v>0.9439</c:v>
                </c:pt>
                <c:pt idx="2">
                  <c:v>0.9426</c:v>
                </c:pt>
                <c:pt idx="3">
                  <c:v>0.9432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4454145"/>
        <c:axId val="948871970"/>
      </c:scatterChart>
      <c:valAx>
        <c:axId val="604454145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隐藏层神经元数量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48871970"/>
        <c:crosses val="autoZero"/>
        <c:crossBetween val="midCat"/>
      </c:valAx>
      <c:valAx>
        <c:axId val="9488719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准确率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044541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F1分数随经典神经网络训练样本数量变化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Sheet1!$D$13:$D$17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</c:numCache>
            </c:numRef>
          </c:xVal>
          <c:yVal>
            <c:numRef>
              <c:f>Sheet1!$Q$13:$Q$17</c:f>
              <c:numCache>
                <c:formatCode>General</c:formatCode>
                <c:ptCount val="5"/>
                <c:pt idx="0">
                  <c:v>0.9156</c:v>
                </c:pt>
                <c:pt idx="1">
                  <c:v>0.9162</c:v>
                </c:pt>
                <c:pt idx="2">
                  <c:v>0.9177</c:v>
                </c:pt>
                <c:pt idx="3">
                  <c:v>0.9206</c:v>
                </c:pt>
                <c:pt idx="4">
                  <c:v>0.9154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06367179"/>
        <c:axId val="69255130"/>
      </c:scatterChart>
      <c:valAx>
        <c:axId val="8063671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训练样本数量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>
            <c:manualLayout>
              <c:xMode val="edge"/>
              <c:yMode val="edge"/>
              <c:x val="0.490089772927302"/>
              <c:y val="0.9107605368495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9255130"/>
        <c:crosses val="autoZero"/>
        <c:crossBetween val="midCat"/>
      </c:valAx>
      <c:valAx>
        <c:axId val="692551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F1分数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063671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准确率随经典神经网络训练样本数量变化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Sheet1!$D$13:$D$17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</c:numCache>
            </c:numRef>
          </c:xVal>
          <c:yVal>
            <c:numRef>
              <c:f>Sheet1!$R$13:$R$17</c:f>
              <c:numCache>
                <c:formatCode>0.00%</c:formatCode>
                <c:ptCount val="5"/>
                <c:pt idx="0">
                  <c:v>0.938</c:v>
                </c:pt>
                <c:pt idx="1">
                  <c:v>0.9409</c:v>
                </c:pt>
                <c:pt idx="2">
                  <c:v>0.9411</c:v>
                </c:pt>
                <c:pt idx="3">
                  <c:v>0.9439</c:v>
                </c:pt>
                <c:pt idx="4">
                  <c:v>0.9407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9924961"/>
        <c:axId val="393554111"/>
      </c:scatterChart>
      <c:valAx>
        <c:axId val="7799249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训练样本数量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93554111"/>
        <c:crosses val="autoZero"/>
        <c:crossBetween val="midCat"/>
      </c:valAx>
      <c:valAx>
        <c:axId val="3935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准确率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7992496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深度为</a:t>
            </a:r>
            <a:r>
              <a:rPr lang="en-US" altLang="zh-CN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1</a:t>
            </a:r>
            <a:r>
              <a:rPr altLang="en-US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时准确率随量子层量子比特数量变化（疑错）</a:t>
            </a:r>
            <a:endParaRPr lang="en-US" altLang="zh-CN"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Sheet1!$G$21:$G$23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xVal>
          <c:yVal>
            <c:numRef>
              <c:f>Sheet1!$R$21:$R$23</c:f>
              <c:numCache>
                <c:formatCode>0.00%</c:formatCode>
                <c:ptCount val="3"/>
                <c:pt idx="0">
                  <c:v>0.9439</c:v>
                </c:pt>
                <c:pt idx="1">
                  <c:v>0.9418</c:v>
                </c:pt>
                <c:pt idx="2">
                  <c:v>0.9399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9198204"/>
        <c:axId val="814515620"/>
      </c:scatterChart>
      <c:valAx>
        <c:axId val="739198204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量子比特数量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14515620"/>
        <c:crosses val="autoZero"/>
        <c:crossBetween val="midCat"/>
      </c:valAx>
      <c:valAx>
        <c:axId val="8145156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准确率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3919820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深度为1时F1分数随量子层量子比特数量变化（疑错）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>
        <c:manualLayout>
          <c:xMode val="edge"/>
          <c:yMode val="edge"/>
          <c:x val="0.176130389064143"/>
          <c:y val="0.01365032419519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Sheet1!$G$21:$G$23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xVal>
          <c:yVal>
            <c:numRef>
              <c:f>Sheet1!$Q$21:$Q$23</c:f>
              <c:numCache>
                <c:formatCode>General</c:formatCode>
                <c:ptCount val="3"/>
                <c:pt idx="0">
                  <c:v>0.9206</c:v>
                </c:pt>
                <c:pt idx="1">
                  <c:v>0.9212</c:v>
                </c:pt>
                <c:pt idx="2">
                  <c:v>0.9174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18327368"/>
        <c:axId val="551839484"/>
      </c:scatterChart>
      <c:valAx>
        <c:axId val="418327368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量子比特数量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51839484"/>
        <c:crosses val="autoZero"/>
        <c:crossBetween val="midCat"/>
      </c:valAx>
      <c:valAx>
        <c:axId val="551839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lang="en-US" altLang="zh-CN"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F1</a:t>
                </a:r>
                <a:r>
                  <a:rPr altLang="en-US"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分数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4183273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深度为</a:t>
            </a:r>
            <a:r>
              <a:rPr lang="en-US" altLang="zh-CN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2</a:t>
            </a: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时F1分数随量子层量子比特数量变化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Sheet1!$G$24:$G$27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Sheet1!$Q$24:$Q$27</c:f>
              <c:numCache>
                <c:formatCode>General</c:formatCode>
                <c:ptCount val="4"/>
                <c:pt idx="0">
                  <c:v>0.9197</c:v>
                </c:pt>
                <c:pt idx="1">
                  <c:v>0.9189</c:v>
                </c:pt>
                <c:pt idx="2">
                  <c:v>0.929</c:v>
                </c:pt>
                <c:pt idx="3">
                  <c:v>0.9207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68648469"/>
        <c:axId val="212162921"/>
      </c:scatterChart>
      <c:valAx>
        <c:axId val="26864846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量子比特数量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12162921"/>
        <c:crosses val="autoZero"/>
        <c:crossBetween val="midCat"/>
      </c:valAx>
      <c:valAx>
        <c:axId val="212162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F1分数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686484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深度为</a:t>
            </a:r>
            <a:r>
              <a:rPr lang="en-US" altLang="zh-CN"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2</a:t>
            </a:r>
            <a:r>
              <a:rPr sz="2160" b="1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时准确率随量子层量子比特数量变化</a:t>
            </a:r>
            <a:endParaRPr sz="2160" b="1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>
        <c:manualLayout>
          <c:xMode val="edge"/>
          <c:yMode val="edge"/>
          <c:x val="0.247754359185111"/>
          <c:y val="0.0200613641727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Sheet1!$G$24:$G$27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Sheet1!$R$24:$R$27</c:f>
              <c:numCache>
                <c:formatCode>0.00%</c:formatCode>
                <c:ptCount val="4"/>
                <c:pt idx="0">
                  <c:v>0.9427</c:v>
                </c:pt>
                <c:pt idx="1">
                  <c:v>0.9425</c:v>
                </c:pt>
                <c:pt idx="2">
                  <c:v>0.9492</c:v>
                </c:pt>
                <c:pt idx="3">
                  <c:v>0.9425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93535086"/>
        <c:axId val="898603198"/>
      </c:scatterChart>
      <c:valAx>
        <c:axId val="793535086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量子比特数量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98603198"/>
        <c:crosses val="autoZero"/>
        <c:crossBetween val="midCat"/>
      </c:valAx>
      <c:valAx>
        <c:axId val="8986031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  <a:r>
                  <a:rPr sz="1800" b="1"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rPr>
                  <a:t>准确率</a:t>
                </a:r>
                <a:endParaRPr sz="1800" b="1">
                  <a:latin typeface="华文楷体" panose="02010600040101010101" charset="-122"/>
                  <a:ea typeface="华文楷体" panose="02010600040101010101" charset="-122"/>
                  <a:cs typeface="华文楷体" panose="02010600040101010101" charset="-122"/>
                  <a:sym typeface="华文楷体" panose="02010600040101010101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935350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1134110</xdr:colOff>
      <xdr:row>27</xdr:row>
      <xdr:rowOff>193675</xdr:rowOff>
    </xdr:from>
    <xdr:to>
      <xdr:col>11</xdr:col>
      <xdr:colOff>342265</xdr:colOff>
      <xdr:row>42</xdr:row>
      <xdr:rowOff>354965</xdr:rowOff>
    </xdr:to>
    <xdr:graphicFrame>
      <xdr:nvGraphicFramePr>
        <xdr:cNvPr id="3" name="图表 2"/>
        <xdr:cNvGraphicFramePr/>
      </xdr:nvGraphicFramePr>
      <xdr:xfrm>
        <a:off x="2296160" y="9705975"/>
        <a:ext cx="10828655" cy="549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748665</xdr:colOff>
      <xdr:row>27</xdr:row>
      <xdr:rowOff>351155</xdr:rowOff>
    </xdr:from>
    <xdr:to>
      <xdr:col>22</xdr:col>
      <xdr:colOff>433705</xdr:colOff>
      <xdr:row>43</xdr:row>
      <xdr:rowOff>163195</xdr:rowOff>
    </xdr:to>
    <xdr:graphicFrame>
      <xdr:nvGraphicFramePr>
        <xdr:cNvPr id="4" name="图表 3"/>
        <xdr:cNvGraphicFramePr/>
      </xdr:nvGraphicFramePr>
      <xdr:xfrm>
        <a:off x="13531215" y="9863455"/>
        <a:ext cx="10810240" cy="55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73025</xdr:colOff>
      <xdr:row>43</xdr:row>
      <xdr:rowOff>186055</xdr:rowOff>
    </xdr:from>
    <xdr:to>
      <xdr:col>11</xdr:col>
      <xdr:colOff>425450</xdr:colOff>
      <xdr:row>58</xdr:row>
      <xdr:rowOff>281940</xdr:rowOff>
    </xdr:to>
    <xdr:graphicFrame>
      <xdr:nvGraphicFramePr>
        <xdr:cNvPr id="5" name="图表 4"/>
        <xdr:cNvGraphicFramePr/>
      </xdr:nvGraphicFramePr>
      <xdr:xfrm>
        <a:off x="2397125" y="15387955"/>
        <a:ext cx="10810875" cy="542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781050</xdr:colOff>
      <xdr:row>43</xdr:row>
      <xdr:rowOff>142875</xdr:rowOff>
    </xdr:from>
    <xdr:to>
      <xdr:col>22</xdr:col>
      <xdr:colOff>506730</xdr:colOff>
      <xdr:row>58</xdr:row>
      <xdr:rowOff>304165</xdr:rowOff>
    </xdr:to>
    <xdr:graphicFrame>
      <xdr:nvGraphicFramePr>
        <xdr:cNvPr id="6" name="图表 5"/>
        <xdr:cNvGraphicFramePr/>
      </xdr:nvGraphicFramePr>
      <xdr:xfrm>
        <a:off x="13563600" y="15344775"/>
        <a:ext cx="10850880" cy="549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59</xdr:row>
      <xdr:rowOff>79375</xdr:rowOff>
    </xdr:from>
    <xdr:to>
      <xdr:col>11</xdr:col>
      <xdr:colOff>459105</xdr:colOff>
      <xdr:row>75</xdr:row>
      <xdr:rowOff>202565</xdr:rowOff>
    </xdr:to>
    <xdr:graphicFrame>
      <xdr:nvGraphicFramePr>
        <xdr:cNvPr id="8" name="图表 7"/>
        <xdr:cNvGraphicFramePr/>
      </xdr:nvGraphicFramePr>
      <xdr:xfrm>
        <a:off x="2390775" y="20970875"/>
        <a:ext cx="10850880" cy="549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908050</xdr:colOff>
      <xdr:row>59</xdr:row>
      <xdr:rowOff>117475</xdr:rowOff>
    </xdr:from>
    <xdr:to>
      <xdr:col>23</xdr:col>
      <xdr:colOff>24130</xdr:colOff>
      <xdr:row>75</xdr:row>
      <xdr:rowOff>240665</xdr:rowOff>
    </xdr:to>
    <xdr:graphicFrame>
      <xdr:nvGraphicFramePr>
        <xdr:cNvPr id="9" name="图表 8"/>
        <xdr:cNvGraphicFramePr/>
      </xdr:nvGraphicFramePr>
      <xdr:xfrm>
        <a:off x="13690600" y="21008975"/>
        <a:ext cx="10850880" cy="549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717550</xdr:colOff>
      <xdr:row>77</xdr:row>
      <xdr:rowOff>22860</xdr:rowOff>
    </xdr:from>
    <xdr:to>
      <xdr:col>22</xdr:col>
      <xdr:colOff>443230</xdr:colOff>
      <xdr:row>95</xdr:row>
      <xdr:rowOff>266700</xdr:rowOff>
    </xdr:to>
    <xdr:graphicFrame>
      <xdr:nvGraphicFramePr>
        <xdr:cNvPr id="10" name="图表 9"/>
        <xdr:cNvGraphicFramePr/>
      </xdr:nvGraphicFramePr>
      <xdr:xfrm>
        <a:off x="13500100" y="26870660"/>
        <a:ext cx="10850880" cy="55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167640</xdr:colOff>
      <xdr:row>77</xdr:row>
      <xdr:rowOff>153035</xdr:rowOff>
    </xdr:from>
    <xdr:to>
      <xdr:col>11</xdr:col>
      <xdr:colOff>560070</xdr:colOff>
      <xdr:row>96</xdr:row>
      <xdr:rowOff>104775</xdr:rowOff>
    </xdr:to>
    <xdr:graphicFrame>
      <xdr:nvGraphicFramePr>
        <xdr:cNvPr id="11" name="图表 10"/>
        <xdr:cNvGraphicFramePr/>
      </xdr:nvGraphicFramePr>
      <xdr:xfrm>
        <a:off x="2491740" y="27000835"/>
        <a:ext cx="10850880" cy="55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187325</xdr:colOff>
      <xdr:row>97</xdr:row>
      <xdr:rowOff>95250</xdr:rowOff>
    </xdr:from>
    <xdr:to>
      <xdr:col>11</xdr:col>
      <xdr:colOff>589280</xdr:colOff>
      <xdr:row>116</xdr:row>
      <xdr:rowOff>40640</xdr:rowOff>
    </xdr:to>
    <xdr:graphicFrame>
      <xdr:nvGraphicFramePr>
        <xdr:cNvPr id="12" name="图表 11"/>
        <xdr:cNvGraphicFramePr/>
      </xdr:nvGraphicFramePr>
      <xdr:xfrm>
        <a:off x="2511425" y="32785050"/>
        <a:ext cx="10860405" cy="549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790575</xdr:colOff>
      <xdr:row>97</xdr:row>
      <xdr:rowOff>215900</xdr:rowOff>
    </xdr:from>
    <xdr:to>
      <xdr:col>22</xdr:col>
      <xdr:colOff>525780</xdr:colOff>
      <xdr:row>116</xdr:row>
      <xdr:rowOff>167640</xdr:rowOff>
    </xdr:to>
    <xdr:graphicFrame>
      <xdr:nvGraphicFramePr>
        <xdr:cNvPr id="13" name="图表 12"/>
        <xdr:cNvGraphicFramePr/>
      </xdr:nvGraphicFramePr>
      <xdr:xfrm>
        <a:off x="13573125" y="32905700"/>
        <a:ext cx="10860405" cy="55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"/>
  <sheetViews>
    <sheetView tabSelected="1" zoomScale="40" zoomScaleNormal="40" topLeftCell="A41" workbookViewId="0">
      <selection activeCell="Z94" sqref="Z94"/>
    </sheetView>
  </sheetViews>
  <sheetFormatPr defaultColWidth="8.72727272727273" defaultRowHeight="23"/>
  <cols>
    <col min="1" max="19" width="16.6363636363636" style="6" customWidth="1"/>
    <col min="20" max="16384" width="8.72727272727273" style="7"/>
  </cols>
  <sheetData>
    <row r="1" ht="28" customHeight="1" spans="1:20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8" t="s">
        <v>14</v>
      </c>
      <c r="Q1" s="9" t="s">
        <v>15</v>
      </c>
      <c r="R1" s="9" t="s">
        <v>16</v>
      </c>
      <c r="S1" s="9" t="s">
        <v>17</v>
      </c>
      <c r="T1" s="48"/>
    </row>
    <row r="2" s="1" customFormat="1" ht="28" customHeight="1" spans="1:19">
      <c r="A2" s="11" t="s">
        <v>0</v>
      </c>
      <c r="B2" s="12">
        <v>9</v>
      </c>
      <c r="C2" s="12">
        <v>0.01</v>
      </c>
      <c r="D2" s="12">
        <v>64</v>
      </c>
      <c r="E2" s="12">
        <v>75</v>
      </c>
      <c r="F2" s="12">
        <v>1</v>
      </c>
      <c r="G2" s="12">
        <v>2</v>
      </c>
      <c r="H2" s="13">
        <v>0.92</v>
      </c>
      <c r="I2" s="13">
        <v>0.922</v>
      </c>
      <c r="J2" s="13">
        <v>0.9224</v>
      </c>
      <c r="K2" s="40">
        <v>0.943884</v>
      </c>
      <c r="L2" s="40">
        <v>0.942204</v>
      </c>
      <c r="M2" s="40">
        <v>0.943884</v>
      </c>
      <c r="N2" s="13"/>
      <c r="O2" s="13"/>
      <c r="P2" s="13"/>
      <c r="Q2" s="12">
        <v>0.9215</v>
      </c>
      <c r="R2" s="49">
        <v>0.9433</v>
      </c>
      <c r="S2" s="12">
        <v>124</v>
      </c>
    </row>
    <row r="3" s="1" customFormat="1" ht="28" customHeight="1" spans="1:1">
      <c r="A3" s="14"/>
    </row>
    <row r="4" s="1" customFormat="1" ht="28" customHeight="1" spans="1:19">
      <c r="A4" s="14"/>
      <c r="B4" s="15">
        <v>7</v>
      </c>
      <c r="C4" s="16">
        <v>0.01</v>
      </c>
      <c r="D4" s="16">
        <v>64</v>
      </c>
      <c r="E4" s="16">
        <v>75</v>
      </c>
      <c r="F4" s="16">
        <v>1</v>
      </c>
      <c r="G4" s="16">
        <v>2</v>
      </c>
      <c r="H4" s="16">
        <v>0.918</v>
      </c>
      <c r="I4" s="16">
        <v>0.9121</v>
      </c>
      <c r="J4" s="16">
        <v>0.9132</v>
      </c>
      <c r="K4" s="41">
        <v>0.941868</v>
      </c>
      <c r="L4" s="41">
        <v>0.936828</v>
      </c>
      <c r="M4" s="41">
        <v>0.936492</v>
      </c>
      <c r="N4" s="16"/>
      <c r="O4" s="16"/>
      <c r="P4" s="16">
        <v>267.21</v>
      </c>
      <c r="Q4" s="16">
        <v>0.9144</v>
      </c>
      <c r="R4" s="41">
        <v>0.9384</v>
      </c>
      <c r="S4" s="16">
        <v>100</v>
      </c>
    </row>
    <row r="5" s="1" customFormat="1" ht="28" customHeight="1" spans="1:19">
      <c r="A5" s="14"/>
      <c r="B5" s="15">
        <v>9</v>
      </c>
      <c r="C5" s="16">
        <v>0.01</v>
      </c>
      <c r="D5" s="16">
        <v>64</v>
      </c>
      <c r="E5" s="16">
        <v>75</v>
      </c>
      <c r="F5" s="16">
        <v>1</v>
      </c>
      <c r="G5" s="16">
        <v>2</v>
      </c>
      <c r="H5" s="16">
        <v>0.9218</v>
      </c>
      <c r="I5" s="16">
        <v>0.9194</v>
      </c>
      <c r="J5" s="16"/>
      <c r="K5" s="41">
        <v>0.944892</v>
      </c>
      <c r="L5" s="41">
        <v>0.942876</v>
      </c>
      <c r="M5" s="16"/>
      <c r="N5" s="16">
        <v>263.05</v>
      </c>
      <c r="O5" s="16">
        <v>254.4</v>
      </c>
      <c r="P5" s="16"/>
      <c r="Q5" s="16">
        <f t="shared" ref="Q5:Q9" si="0">AVERAGE(H5:I5)</f>
        <v>0.9206</v>
      </c>
      <c r="R5" s="41">
        <v>0.9439</v>
      </c>
      <c r="S5" s="16">
        <v>124</v>
      </c>
    </row>
    <row r="6" s="1" customFormat="1" ht="28" customHeight="1" spans="1:19">
      <c r="A6" s="14"/>
      <c r="B6" s="17">
        <v>10</v>
      </c>
      <c r="C6" s="13">
        <v>0.01</v>
      </c>
      <c r="D6" s="13">
        <v>64</v>
      </c>
      <c r="E6" s="13">
        <v>75</v>
      </c>
      <c r="F6" s="13">
        <v>1</v>
      </c>
      <c r="G6" s="13">
        <v>2</v>
      </c>
      <c r="H6" s="13">
        <v>0.9238</v>
      </c>
      <c r="I6" s="13">
        <v>0.9179</v>
      </c>
      <c r="J6" s="13">
        <v>0.9197</v>
      </c>
      <c r="K6" s="40">
        <v>0.945565</v>
      </c>
      <c r="L6" s="40">
        <v>0.939852</v>
      </c>
      <c r="M6" s="40">
        <v>0.94254</v>
      </c>
      <c r="N6" s="13"/>
      <c r="O6" s="13"/>
      <c r="P6" s="13"/>
      <c r="Q6" s="13">
        <v>0.9205</v>
      </c>
      <c r="R6" s="40">
        <v>0.9426</v>
      </c>
      <c r="S6" s="13">
        <v>140</v>
      </c>
    </row>
    <row r="7" ht="24.5" spans="2:19">
      <c r="B7" s="15">
        <v>11</v>
      </c>
      <c r="C7" s="16">
        <v>0.01</v>
      </c>
      <c r="D7" s="16">
        <v>64</v>
      </c>
      <c r="E7" s="16">
        <v>75</v>
      </c>
      <c r="F7" s="16">
        <v>1</v>
      </c>
      <c r="G7" s="16">
        <v>2</v>
      </c>
      <c r="H7" s="16">
        <v>0.9175</v>
      </c>
      <c r="I7" s="16">
        <v>0.9229</v>
      </c>
      <c r="J7" s="16"/>
      <c r="K7" s="41">
        <v>0.941196</v>
      </c>
      <c r="L7" s="41">
        <v>0.945228</v>
      </c>
      <c r="M7" s="16"/>
      <c r="N7" s="16">
        <v>347.24</v>
      </c>
      <c r="O7" s="16">
        <v>384.16</v>
      </c>
      <c r="P7" s="16"/>
      <c r="Q7" s="16">
        <f t="shared" si="0"/>
        <v>0.9202</v>
      </c>
      <c r="R7" s="41">
        <v>0.9432</v>
      </c>
      <c r="S7" s="16">
        <v>148</v>
      </c>
    </row>
    <row r="8" s="2" customFormat="1" ht="28" customHeight="1" spans="1:19">
      <c r="A8" s="18" t="s">
        <v>1</v>
      </c>
      <c r="B8" s="19">
        <v>9</v>
      </c>
      <c r="C8" s="20">
        <v>0.005</v>
      </c>
      <c r="D8" s="20">
        <v>64</v>
      </c>
      <c r="E8" s="20">
        <v>75</v>
      </c>
      <c r="F8" s="20">
        <v>1</v>
      </c>
      <c r="G8" s="20">
        <v>2</v>
      </c>
      <c r="H8" s="20">
        <v>0.9185</v>
      </c>
      <c r="I8" s="20">
        <v>0.9158</v>
      </c>
      <c r="J8" s="20"/>
      <c r="K8" s="42">
        <v>0.940188</v>
      </c>
      <c r="L8" s="42">
        <v>0.939852</v>
      </c>
      <c r="M8" s="20"/>
      <c r="N8" s="20">
        <v>328.13</v>
      </c>
      <c r="O8" s="20"/>
      <c r="P8" s="20"/>
      <c r="Q8" s="20">
        <v>0.9172</v>
      </c>
      <c r="R8" s="42">
        <v>0.94</v>
      </c>
      <c r="S8" s="20">
        <v>124</v>
      </c>
    </row>
    <row r="9" s="2" customFormat="1" ht="28" customHeight="1" spans="1:19">
      <c r="A9" s="21"/>
      <c r="B9" s="19">
        <v>9</v>
      </c>
      <c r="C9" s="20">
        <v>0.01</v>
      </c>
      <c r="D9" s="20">
        <v>64</v>
      </c>
      <c r="E9" s="20">
        <v>75</v>
      </c>
      <c r="F9" s="20">
        <v>1</v>
      </c>
      <c r="G9" s="20">
        <v>2</v>
      </c>
      <c r="H9" s="20">
        <v>0.9218</v>
      </c>
      <c r="I9" s="20">
        <v>0.9194</v>
      </c>
      <c r="J9" s="20"/>
      <c r="K9" s="42">
        <v>0.944892</v>
      </c>
      <c r="L9" s="42">
        <v>0.942876</v>
      </c>
      <c r="M9" s="20"/>
      <c r="N9" s="20">
        <v>263.05</v>
      </c>
      <c r="O9" s="20">
        <v>254.4</v>
      </c>
      <c r="P9" s="20"/>
      <c r="Q9" s="20">
        <f t="shared" si="0"/>
        <v>0.9206</v>
      </c>
      <c r="R9" s="42">
        <v>0.9439</v>
      </c>
      <c r="S9" s="20">
        <v>124</v>
      </c>
    </row>
    <row r="10" s="2" customFormat="1" ht="28" customHeight="1" spans="1:19">
      <c r="A10" s="22"/>
      <c r="B10" s="19">
        <v>9</v>
      </c>
      <c r="C10" s="20">
        <v>0.02</v>
      </c>
      <c r="D10" s="20">
        <v>64</v>
      </c>
      <c r="E10" s="20">
        <v>75</v>
      </c>
      <c r="F10" s="20">
        <v>1</v>
      </c>
      <c r="G10" s="20">
        <v>2</v>
      </c>
      <c r="H10" s="20">
        <v>0.9084</v>
      </c>
      <c r="I10" s="20"/>
      <c r="J10" s="20"/>
      <c r="K10" s="42">
        <v>0.934476</v>
      </c>
      <c r="L10" s="20"/>
      <c r="M10" s="20"/>
      <c r="N10" s="20">
        <v>336.1</v>
      </c>
      <c r="O10" s="20"/>
      <c r="P10" s="20"/>
      <c r="Q10" s="20">
        <v>0.9084</v>
      </c>
      <c r="R10" s="42">
        <v>0.934476</v>
      </c>
      <c r="S10" s="20">
        <v>124</v>
      </c>
    </row>
    <row r="11" s="2" customFormat="1" ht="28" customHeight="1" spans="1:19">
      <c r="A11" s="23"/>
      <c r="B11" s="19">
        <v>9</v>
      </c>
      <c r="C11" s="20">
        <v>0.05</v>
      </c>
      <c r="D11" s="20">
        <v>64</v>
      </c>
      <c r="E11" s="20">
        <v>75</v>
      </c>
      <c r="F11" s="20">
        <v>1</v>
      </c>
      <c r="G11" s="20">
        <v>2</v>
      </c>
      <c r="H11" s="20">
        <v>0.904</v>
      </c>
      <c r="I11" s="20"/>
      <c r="J11" s="20"/>
      <c r="K11" s="42">
        <v>0.930108</v>
      </c>
      <c r="L11" s="20"/>
      <c r="M11" s="20"/>
      <c r="N11" s="20">
        <v>321.48</v>
      </c>
      <c r="O11" s="20"/>
      <c r="P11" s="20"/>
      <c r="Q11" s="20">
        <v>0.904</v>
      </c>
      <c r="R11" s="42">
        <v>0.930108</v>
      </c>
      <c r="S11" s="20">
        <v>124</v>
      </c>
    </row>
    <row r="12" ht="24.5" spans="1:19">
      <c r="A12" s="24"/>
      <c r="B12" s="19">
        <v>9</v>
      </c>
      <c r="C12" s="20">
        <v>0.08</v>
      </c>
      <c r="D12" s="20">
        <v>64</v>
      </c>
      <c r="E12" s="20">
        <v>75</v>
      </c>
      <c r="F12" s="20">
        <v>1</v>
      </c>
      <c r="G12" s="20">
        <v>2</v>
      </c>
      <c r="H12" s="25">
        <v>0.8938</v>
      </c>
      <c r="I12" s="20"/>
      <c r="J12" s="20"/>
      <c r="K12" s="42">
        <v>0.922715</v>
      </c>
      <c r="L12" s="20"/>
      <c r="M12" s="20"/>
      <c r="N12" s="20"/>
      <c r="O12" s="20"/>
      <c r="P12" s="20"/>
      <c r="Q12" s="25">
        <v>0.8938</v>
      </c>
      <c r="R12" s="42">
        <v>0.922715</v>
      </c>
      <c r="S12" s="20">
        <v>124</v>
      </c>
    </row>
    <row r="13" s="3" customFormat="1" ht="28" customHeight="1" spans="1:19">
      <c r="A13" s="26" t="s">
        <v>2</v>
      </c>
      <c r="B13" s="27">
        <v>9</v>
      </c>
      <c r="C13" s="28">
        <v>0.01</v>
      </c>
      <c r="D13" s="28">
        <v>12</v>
      </c>
      <c r="E13" s="28">
        <v>75</v>
      </c>
      <c r="F13" s="28">
        <v>1</v>
      </c>
      <c r="G13" s="28">
        <v>2</v>
      </c>
      <c r="H13" s="3">
        <v>0.9094</v>
      </c>
      <c r="I13" s="3">
        <v>0.9208</v>
      </c>
      <c r="J13" s="3"/>
      <c r="K13" s="43">
        <v>0.9351</v>
      </c>
      <c r="L13" s="43">
        <v>0.941532</v>
      </c>
      <c r="M13" s="43"/>
      <c r="N13" s="3"/>
      <c r="P13" s="28"/>
      <c r="Q13" s="28">
        <v>0.9156</v>
      </c>
      <c r="R13" s="44">
        <v>0.938</v>
      </c>
      <c r="S13" s="28"/>
    </row>
    <row r="14" s="3" customFormat="1" ht="28" customHeight="1" spans="1:19">
      <c r="A14" s="29"/>
      <c r="B14" s="27">
        <v>9</v>
      </c>
      <c r="C14" s="28">
        <v>0.01</v>
      </c>
      <c r="D14" s="28">
        <v>24</v>
      </c>
      <c r="E14" s="28">
        <v>75</v>
      </c>
      <c r="F14" s="28">
        <v>1</v>
      </c>
      <c r="G14" s="28">
        <v>2</v>
      </c>
      <c r="H14" s="28">
        <v>0.9222</v>
      </c>
      <c r="I14" s="28">
        <v>0.9103</v>
      </c>
      <c r="J14" s="28"/>
      <c r="K14" s="43">
        <v>0.94422</v>
      </c>
      <c r="L14" s="44">
        <v>0.9375</v>
      </c>
      <c r="M14" s="28"/>
      <c r="N14" s="28">
        <v>403.04</v>
      </c>
      <c r="O14" s="28"/>
      <c r="P14" s="28"/>
      <c r="Q14" s="28">
        <v>0.9162</v>
      </c>
      <c r="R14" s="44">
        <v>0.9409</v>
      </c>
      <c r="S14" s="28"/>
    </row>
    <row r="15" s="3" customFormat="1" ht="28" customHeight="1" spans="1:19">
      <c r="A15" s="29"/>
      <c r="B15" s="27">
        <v>9</v>
      </c>
      <c r="C15" s="28">
        <v>0.01</v>
      </c>
      <c r="D15" s="28">
        <v>48</v>
      </c>
      <c r="E15" s="28">
        <v>75</v>
      </c>
      <c r="F15" s="28">
        <v>1</v>
      </c>
      <c r="G15" s="28">
        <v>2</v>
      </c>
      <c r="H15" s="28">
        <v>0.921</v>
      </c>
      <c r="I15" s="28">
        <v>0.9143</v>
      </c>
      <c r="J15" s="28"/>
      <c r="K15" s="44">
        <v>0.94422</v>
      </c>
      <c r="L15" s="44">
        <v>0.938172</v>
      </c>
      <c r="M15" s="28"/>
      <c r="N15" s="28">
        <v>346.08</v>
      </c>
      <c r="O15" s="28">
        <v>360.34</v>
      </c>
      <c r="P15" s="28"/>
      <c r="Q15" s="28">
        <v>0.9177</v>
      </c>
      <c r="R15" s="44">
        <v>0.9411</v>
      </c>
      <c r="S15" s="28"/>
    </row>
    <row r="16" s="3" customFormat="1" ht="28" customHeight="1" spans="1:19">
      <c r="A16" s="30"/>
      <c r="B16" s="27">
        <v>9</v>
      </c>
      <c r="C16" s="28">
        <v>0.01</v>
      </c>
      <c r="D16" s="28">
        <v>64</v>
      </c>
      <c r="E16" s="28">
        <v>75</v>
      </c>
      <c r="F16" s="28">
        <v>1</v>
      </c>
      <c r="G16" s="28">
        <v>2</v>
      </c>
      <c r="H16" s="28">
        <v>0.9218</v>
      </c>
      <c r="I16" s="28">
        <v>0.9194</v>
      </c>
      <c r="J16" s="28"/>
      <c r="K16" s="44">
        <v>0.944892</v>
      </c>
      <c r="L16" s="44">
        <v>0.942876</v>
      </c>
      <c r="M16" s="28"/>
      <c r="N16" s="28">
        <v>263.05</v>
      </c>
      <c r="O16" s="28">
        <v>254.4</v>
      </c>
      <c r="P16" s="28"/>
      <c r="Q16" s="28">
        <f>AVERAGE(H16:I16)</f>
        <v>0.9206</v>
      </c>
      <c r="R16" s="44">
        <v>0.9439</v>
      </c>
      <c r="S16" s="28">
        <v>124</v>
      </c>
    </row>
    <row r="17" ht="28" customHeight="1" spans="1:19">
      <c r="A17" s="31"/>
      <c r="B17" s="27">
        <v>9</v>
      </c>
      <c r="C17" s="28">
        <v>0.01</v>
      </c>
      <c r="D17" s="28">
        <v>80</v>
      </c>
      <c r="E17" s="28">
        <v>75</v>
      </c>
      <c r="F17" s="28">
        <v>1</v>
      </c>
      <c r="G17" s="28">
        <v>2</v>
      </c>
      <c r="H17" s="28">
        <v>0.9161</v>
      </c>
      <c r="I17" s="28">
        <v>0.9147</v>
      </c>
      <c r="J17" s="28"/>
      <c r="K17" s="44">
        <v>0.94086</v>
      </c>
      <c r="L17" s="44">
        <v>0.940524</v>
      </c>
      <c r="M17" s="28"/>
      <c r="N17" s="28"/>
      <c r="O17" s="28"/>
      <c r="P17" s="28"/>
      <c r="Q17" s="28">
        <v>0.9154</v>
      </c>
      <c r="R17" s="44">
        <v>0.9407</v>
      </c>
      <c r="S17" s="28"/>
    </row>
    <row r="18" ht="28" customHeight="1" spans="1:3">
      <c r="A18" s="31"/>
      <c r="B18" s="31"/>
      <c r="C18" s="31"/>
    </row>
    <row r="19" ht="28" customHeight="1" spans="1: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ht="28" customHeight="1" spans="1:19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ht="28" customHeight="1" spans="1:19">
      <c r="A21" s="32"/>
      <c r="B21" s="33">
        <v>9</v>
      </c>
      <c r="C21" s="34">
        <v>0.01</v>
      </c>
      <c r="D21" s="34">
        <v>64</v>
      </c>
      <c r="E21" s="34">
        <v>75</v>
      </c>
      <c r="F21" s="34">
        <v>1</v>
      </c>
      <c r="G21" s="34">
        <v>2</v>
      </c>
      <c r="H21" s="34">
        <v>0.9218</v>
      </c>
      <c r="I21" s="34">
        <v>0.9194</v>
      </c>
      <c r="J21" s="34"/>
      <c r="K21" s="45">
        <v>0.944892</v>
      </c>
      <c r="L21" s="45">
        <v>0.942876</v>
      </c>
      <c r="M21" s="34"/>
      <c r="N21" s="34">
        <v>263.05</v>
      </c>
      <c r="O21" s="34">
        <v>254.4</v>
      </c>
      <c r="P21" s="34"/>
      <c r="Q21" s="34">
        <f>AVERAGE(H21:I21)</f>
        <v>0.9206</v>
      </c>
      <c r="R21" s="45">
        <v>0.9439</v>
      </c>
      <c r="S21" s="34">
        <v>124</v>
      </c>
    </row>
    <row r="22" s="4" customFormat="1" ht="28" customHeight="1" spans="1:19">
      <c r="A22" s="35" t="s">
        <v>18</v>
      </c>
      <c r="B22" s="33">
        <v>9</v>
      </c>
      <c r="C22" s="34">
        <v>0.01</v>
      </c>
      <c r="D22" s="34">
        <v>64</v>
      </c>
      <c r="E22" s="34">
        <v>75</v>
      </c>
      <c r="F22" s="34">
        <v>1</v>
      </c>
      <c r="G22" s="34">
        <v>3</v>
      </c>
      <c r="H22" s="34">
        <v>0.9212</v>
      </c>
      <c r="I22" s="34"/>
      <c r="J22" s="34"/>
      <c r="K22" s="45">
        <v>0.9418</v>
      </c>
      <c r="L22" s="34"/>
      <c r="M22" s="34"/>
      <c r="N22" s="34"/>
      <c r="O22" s="34"/>
      <c r="P22" s="34"/>
      <c r="Q22" s="34">
        <v>0.9212</v>
      </c>
      <c r="R22" s="45">
        <v>0.9418</v>
      </c>
      <c r="S22" s="34">
        <v>139</v>
      </c>
    </row>
    <row r="23" s="4" customFormat="1" ht="28" customHeight="1" spans="1:19">
      <c r="A23" s="35"/>
      <c r="B23" s="33">
        <v>9</v>
      </c>
      <c r="C23" s="34">
        <v>0.01</v>
      </c>
      <c r="D23" s="34">
        <v>64</v>
      </c>
      <c r="E23" s="34">
        <v>75</v>
      </c>
      <c r="F23" s="34">
        <v>1</v>
      </c>
      <c r="G23" s="34">
        <v>4</v>
      </c>
      <c r="H23" s="34">
        <v>0.9158</v>
      </c>
      <c r="I23" s="34">
        <v>0.919</v>
      </c>
      <c r="J23" s="34">
        <f>AVERAGE(H23:I23)</f>
        <v>0.9174</v>
      </c>
      <c r="K23" s="45">
        <v>0.938844</v>
      </c>
      <c r="L23" s="45">
        <v>0.940524</v>
      </c>
      <c r="M23" s="34">
        <f>AVERAGE(K23:L23)</f>
        <v>0.939684</v>
      </c>
      <c r="N23" s="34"/>
      <c r="O23" s="34"/>
      <c r="P23" s="34"/>
      <c r="Q23" s="34">
        <v>0.9174</v>
      </c>
      <c r="R23" s="45">
        <v>0.9399</v>
      </c>
      <c r="S23" s="34">
        <v>154</v>
      </c>
    </row>
    <row r="24" s="5" customFormat="1" ht="28" customHeight="1" spans="1:19">
      <c r="A24" s="36" t="s">
        <v>19</v>
      </c>
      <c r="B24" s="37">
        <v>9</v>
      </c>
      <c r="C24" s="38">
        <v>0.01</v>
      </c>
      <c r="D24" s="38">
        <v>64</v>
      </c>
      <c r="E24" s="38">
        <v>75</v>
      </c>
      <c r="F24" s="38">
        <v>2</v>
      </c>
      <c r="G24" s="38">
        <v>2</v>
      </c>
      <c r="H24" s="38">
        <v>0.9178</v>
      </c>
      <c r="I24" s="38">
        <v>0.9216</v>
      </c>
      <c r="J24" s="46"/>
      <c r="K24" s="47">
        <v>0.941532</v>
      </c>
      <c r="L24" s="47">
        <v>0.943884</v>
      </c>
      <c r="M24" s="46"/>
      <c r="N24" s="38">
        <v>697.26</v>
      </c>
      <c r="O24" s="38">
        <v>585.08</v>
      </c>
      <c r="P24" s="38"/>
      <c r="Q24" s="38">
        <f>AVERAGE(H24:I24)</f>
        <v>0.9197</v>
      </c>
      <c r="R24" s="47">
        <v>0.9427</v>
      </c>
      <c r="S24" s="38">
        <v>126</v>
      </c>
    </row>
    <row r="25" s="5" customFormat="1" ht="28" customHeight="1" spans="1:19">
      <c r="A25" s="36"/>
      <c r="B25" s="37">
        <v>9</v>
      </c>
      <c r="C25" s="38">
        <v>0.01</v>
      </c>
      <c r="D25" s="38">
        <v>64</v>
      </c>
      <c r="E25" s="38">
        <v>75</v>
      </c>
      <c r="F25" s="38">
        <v>2</v>
      </c>
      <c r="G25" s="38">
        <v>3</v>
      </c>
      <c r="H25" s="38">
        <v>0.9218</v>
      </c>
      <c r="I25" s="38">
        <v>0.9159</v>
      </c>
      <c r="J25" s="38"/>
      <c r="K25" s="47">
        <v>0.94422</v>
      </c>
      <c r="L25" s="47">
        <v>0.94086</v>
      </c>
      <c r="M25" s="38"/>
      <c r="N25" s="38">
        <v>1220.84</v>
      </c>
      <c r="O25" s="38">
        <v>1243.78</v>
      </c>
      <c r="P25" s="38"/>
      <c r="Q25" s="38">
        <v>0.9189</v>
      </c>
      <c r="R25" s="47">
        <v>0.9425</v>
      </c>
      <c r="S25" s="38">
        <v>142</v>
      </c>
    </row>
    <row r="26" s="5" customFormat="1" ht="28" customHeight="1" spans="1:19">
      <c r="A26" s="36"/>
      <c r="B26" s="37">
        <v>9</v>
      </c>
      <c r="C26" s="38">
        <v>0.01</v>
      </c>
      <c r="D26" s="38">
        <v>64</v>
      </c>
      <c r="E26" s="38">
        <v>75</v>
      </c>
      <c r="F26" s="38">
        <v>2</v>
      </c>
      <c r="G26" s="38">
        <v>4</v>
      </c>
      <c r="H26" s="38">
        <v>0.9335</v>
      </c>
      <c r="I26" s="38">
        <v>0.9261</v>
      </c>
      <c r="J26" s="38">
        <v>0.9274</v>
      </c>
      <c r="K26" s="47">
        <v>0.952957</v>
      </c>
      <c r="L26" s="47">
        <v>0.947581</v>
      </c>
      <c r="M26" s="47">
        <v>0.947245</v>
      </c>
      <c r="N26" s="38">
        <v>2021.21</v>
      </c>
      <c r="O26" s="38">
        <v>2072.3</v>
      </c>
      <c r="P26" s="38">
        <f>AVERAGE(K26:M26)</f>
        <v>0.949261</v>
      </c>
      <c r="Q26" s="38">
        <f>AVERAGE(H26:J26)</f>
        <v>0.929</v>
      </c>
      <c r="R26" s="47">
        <v>0.9492</v>
      </c>
      <c r="S26" s="38">
        <v>158</v>
      </c>
    </row>
    <row r="27" s="5" customFormat="1" ht="28" customHeight="1" spans="1:19">
      <c r="A27" s="36"/>
      <c r="B27" s="37">
        <v>9</v>
      </c>
      <c r="C27" s="38">
        <v>0.01</v>
      </c>
      <c r="D27" s="38">
        <v>64</v>
      </c>
      <c r="E27" s="38">
        <v>75</v>
      </c>
      <c r="F27" s="38">
        <v>2</v>
      </c>
      <c r="G27" s="38">
        <v>5</v>
      </c>
      <c r="H27" s="38">
        <v>0.9207</v>
      </c>
      <c r="I27" s="38"/>
      <c r="J27" s="38"/>
      <c r="K27" s="47">
        <v>0.9425</v>
      </c>
      <c r="L27" s="38"/>
      <c r="M27" s="38"/>
      <c r="N27" s="38"/>
      <c r="O27" s="38"/>
      <c r="P27" s="38"/>
      <c r="Q27" s="38">
        <v>0.9207</v>
      </c>
      <c r="R27" s="47">
        <v>0.9425</v>
      </c>
      <c r="S27" s="38">
        <v>174</v>
      </c>
    </row>
    <row r="28" ht="28" customHeight="1" spans="1:19">
      <c r="A28" s="39"/>
      <c r="B28" s="31"/>
      <c r="C28" s="31"/>
      <c r="D28" s="31"/>
      <c r="E28" s="31"/>
      <c r="F28" s="31">
        <v>3</v>
      </c>
      <c r="G28" s="31">
        <v>2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ht="28" customHeight="1" spans="1:1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ht="28" customHeight="1" spans="1:19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ht="28" customHeight="1" spans="1:19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ht="28" customHeight="1" spans="1:19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3" ht="28" customHeight="1" spans="1:19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ht="28" customHeight="1" spans="1:19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ht="28" customHeight="1" spans="1:19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ht="28" customHeight="1" spans="1:19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ht="28" customHeight="1" spans="1:19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ht="28" customHeight="1" spans="1:19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</row>
    <row r="39" ht="28" customHeight="1" spans="1:1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ht="28" customHeight="1" spans="1:19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ht="28" customHeight="1" spans="1:19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ht="28" customHeight="1" spans="1:19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ht="28" customHeight="1" spans="1:19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ht="28" customHeight="1" spans="1:19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ht="28" customHeight="1" spans="1:19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ht="28" customHeight="1" spans="1:19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ht="28" customHeight="1" spans="1:19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ht="28" customHeight="1" spans="1:19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ht="28" customHeight="1" spans="1:1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ht="28" customHeight="1" spans="1:19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ht="28" customHeight="1" spans="1:19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ht="28" customHeight="1" spans="1:19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</row>
    <row r="53" ht="28" customHeight="1" spans="1:19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ht="28" customHeight="1" spans="1:19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ht="28" customHeight="1" spans="1:19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ht="28" customHeight="1" spans="1:19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ht="28" customHeight="1" spans="1:19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ht="28" customHeight="1" spans="1:19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</row>
    <row r="59" ht="28" customHeight="1" spans="1:1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ht="28" customHeight="1" spans="1:19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</row>
    <row r="61" ht="28" customHeight="1" spans="1:19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ht="28" customHeight="1" spans="1:19">
      <c r="A62" s="31"/>
      <c r="B62" s="31"/>
      <c r="C62" s="31"/>
      <c r="D62" s="31"/>
      <c r="E62" s="31"/>
      <c r="F62" s="31"/>
      <c r="G62" s="31"/>
      <c r="H62" s="31"/>
      <c r="I62" s="31" t="s">
        <v>20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</row>
    <row r="63" ht="28" customHeight="1" spans="1:19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ht="28" customHeight="1" spans="1:19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 ht="28" customHeight="1" spans="1:19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ht="28" customHeight="1" spans="1:19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ht="28" customHeight="1" spans="1:19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ht="28" customHeight="1" spans="1:19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 ht="28" customHeight="1" spans="1:1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ht="28" customHeight="1" spans="1:19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</sheetData>
  <mergeCells count="5">
    <mergeCell ref="A2:A6"/>
    <mergeCell ref="A8:A11"/>
    <mergeCell ref="A13:A16"/>
    <mergeCell ref="A22:A23"/>
    <mergeCell ref="A24:A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yhc20</dc:creator>
  <cp:lastModifiedBy>雨沐风</cp:lastModifiedBy>
  <dcterms:created xsi:type="dcterms:W3CDTF">2025-05-10T08:16:00Z</dcterms:created>
  <dcterms:modified xsi:type="dcterms:W3CDTF">2025-05-10T16:36:34Z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53D0C33F42894CA8936108939E6C57B5_11</vt:lpwstr>
  </property>
  <property fmtid="{D5CDD505-2E9C-101B-9397-08002B2CF9AE}" pid="3" name="KSOProductBuildVer">
    <vt:lpwstr>2052-12.1.0.20784</vt:lpwstr>
  </property>
</Properties>
</file>